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 SEDERHANA (2)" sheetId="1" r:id="rId4"/>
    <sheet state="visible" name="LINEAR SEDERHANA" sheetId="2" r:id="rId5"/>
    <sheet state="visible" name="linear berganda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/x+P+n3T2c+IH53lNTriSYav+UjgpWxcuax0VFJvEhs="/>
    </ext>
  </extLst>
</workbook>
</file>

<file path=xl/sharedStrings.xml><?xml version="1.0" encoding="utf-8"?>
<sst xmlns="http://schemas.openxmlformats.org/spreadsheetml/2006/main" count="82" uniqueCount="70">
  <si>
    <t>b1 =</t>
  </si>
  <si>
    <t>R^2 =</t>
  </si>
  <si>
    <t>SISANYA 15,5% DIJELASKAN OLEH VARIABEL LAIN DILUAR MODEL</t>
  </si>
  <si>
    <t>hour (x)</t>
  </si>
  <si>
    <t>nilai (y)</t>
  </si>
  <si>
    <t>x^2</t>
  </si>
  <si>
    <t>x.y</t>
  </si>
  <si>
    <t>Y' (Y prediksi)</t>
  </si>
  <si>
    <t>Y-Y'</t>
  </si>
  <si>
    <t>(Y-Y')^2</t>
  </si>
  <si>
    <t>intercept</t>
  </si>
  <si>
    <t>variabel X</t>
  </si>
  <si>
    <t>Y = 2,327520056 + 9,560516X</t>
  </si>
  <si>
    <t>RMSE =</t>
  </si>
  <si>
    <t>n =</t>
  </si>
  <si>
    <t>Intercept</t>
  </si>
  <si>
    <t>X Variable 1</t>
  </si>
  <si>
    <t>????</t>
  </si>
  <si>
    <t>hitung :</t>
  </si>
  <si>
    <t>+ - 5,86</t>
  </si>
  <si>
    <t>artinya</t>
  </si>
  <si>
    <t>nilai tertinggi :</t>
  </si>
  <si>
    <t>nilai terendah :</t>
  </si>
  <si>
    <t>nilainya ada diantara 37,58 sampai 49,3</t>
  </si>
  <si>
    <t>HITUNG MANUAL KOEFISIEN DETERMINASI R SQUARE REGRESI LINEAR SEDERHANA</t>
  </si>
  <si>
    <t>Tahun</t>
  </si>
  <si>
    <t>penjualan roti (Y)</t>
  </si>
  <si>
    <t>harga jual (X)</t>
  </si>
  <si>
    <t>yi = Yi-Y^</t>
  </si>
  <si>
    <t>xi=Xi=X^</t>
  </si>
  <si>
    <t>xi * yi</t>
  </si>
  <si>
    <t>y^2</t>
  </si>
  <si>
    <t>SUM</t>
  </si>
  <si>
    <t>AVERAGE</t>
  </si>
  <si>
    <t>KERAGAMAN VARIABEL BEBAS 84,5% MAMPU MENJELASKAN KERAGAMAN DARI VARIABEL TERIKAT</t>
  </si>
  <si>
    <t>MENGGUNAKAN ADD-INS</t>
  </si>
  <si>
    <t>NO</t>
  </si>
  <si>
    <t>X1</t>
  </si>
  <si>
    <t>X2</t>
  </si>
  <si>
    <t>X3</t>
  </si>
  <si>
    <t>Y</t>
  </si>
  <si>
    <t>SUMMARY OUTPUT</t>
  </si>
  <si>
    <t>Adjusted R Square</t>
  </si>
  <si>
    <t>=sumbangan pengaruh X1, X2, X3 terhadap Y</t>
  </si>
  <si>
    <t>Regression Statistics</t>
  </si>
  <si>
    <t>secara bersama-sama sebesar 78,6%</t>
  </si>
  <si>
    <t>Multiple R</t>
  </si>
  <si>
    <t>R Square</t>
  </si>
  <si>
    <t>= cocok digunakan untuk regresi linear berganda</t>
  </si>
  <si>
    <t>cth ini menggunakan 3 variabel independen berbeda</t>
  </si>
  <si>
    <t>Standard Error</t>
  </si>
  <si>
    <t>Observations</t>
  </si>
  <si>
    <t>= cocok untuk regresi linear sederhana</t>
  </si>
  <si>
    <t>hanya satu variabel independen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</si>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</sst>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2" fontId="1" numFmtId="0" xfId="0" applyBorder="1" applyFill="1" applyFont="1"/>
    <xf borderId="3" fillId="3" fontId="1" numFmtId="0" xfId="0" applyBorder="1" applyFill="1" applyFont="1"/>
    <xf borderId="1" fillId="4" fontId="1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/>
    </xf>
    <xf borderId="3" fillId="2" fontId="1" numFmtId="0" xfId="0" applyAlignment="1" applyBorder="1" applyFont="1">
      <alignment horizontal="right"/>
    </xf>
    <xf borderId="3" fillId="2" fontId="1" numFmtId="0" xfId="0" applyAlignment="1" applyBorder="1" applyFont="1">
      <alignment horizontal="left"/>
    </xf>
    <xf borderId="5" fillId="0" fontId="1" numFmtId="0" xfId="0" applyBorder="1" applyFont="1"/>
    <xf borderId="3" fillId="3" fontId="1" numFmtId="0" xfId="0" applyAlignment="1" applyBorder="1" applyFont="1">
      <alignment horizontal="center"/>
    </xf>
    <xf quotePrefix="1" borderId="0" fillId="0" fontId="1" numFmtId="0" xfId="0" applyFont="1"/>
    <xf borderId="1" fillId="0" fontId="1" numFmtId="0" xfId="0" applyBorder="1" applyFont="1"/>
    <xf borderId="0" fillId="0" fontId="3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6" fillId="0" fontId="3" numFmtId="0" xfId="0" applyAlignment="1" applyBorder="1" applyFont="1">
      <alignment horizontal="center"/>
    </xf>
    <xf borderId="6" fillId="0" fontId="4" numFmtId="0" xfId="0" applyBorder="1" applyFont="1"/>
    <xf borderId="0" fillId="0" fontId="1" numFmtId="10" xfId="0" applyFont="1" applyNumberFormat="1"/>
    <xf borderId="3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7</xdr:row>
      <xdr:rowOff>133350</xdr:rowOff>
    </xdr:from>
    <xdr:ext cx="4886325" cy="2028825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1962150" cy="638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8597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</xdr:row>
      <xdr:rowOff>161925</xdr:rowOff>
    </xdr:from>
    <xdr:ext cx="1704975" cy="8763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847850" cy="666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43"/>
    <col customWidth="1" min="7" max="7" width="12.57"/>
    <col customWidth="1" min="8" max="8" width="14.14"/>
    <col customWidth="1" min="9" max="10" width="8.71"/>
    <col customWidth="1" min="11" max="11" width="13.29"/>
    <col customWidth="1" min="12" max="13" width="8.71"/>
    <col customWidth="1" min="14" max="14" width="19.14"/>
    <col customWidth="1" min="15" max="15" width="18.0"/>
    <col customWidth="1" min="16" max="16" width="12.71"/>
    <col customWidth="1" min="17" max="26" width="8.71"/>
  </cols>
  <sheetData>
    <row r="1"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E2" s="2" t="s">
        <v>0</v>
      </c>
      <c r="F2" s="2" t="str">
        <f>#REF!/#REF!</f>
        <v>#REF!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E4" s="2" t="s">
        <v>1</v>
      </c>
      <c r="F4" s="2" t="str">
        <f>F2*#REF!/#REF!</f>
        <v>#REF!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G5" s="2" t="s">
        <v>2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F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F8" s="1"/>
      <c r="O8" s="1"/>
      <c r="P8" s="1"/>
      <c r="Q8" s="1"/>
      <c r="R8" s="1"/>
      <c r="S8" s="1"/>
      <c r="T8" s="1"/>
      <c r="U8" s="1"/>
      <c r="V8" s="1"/>
      <c r="W8" s="1"/>
      <c r="X8" s="1"/>
    </row>
    <row r="20">
      <c r="F20" s="1"/>
      <c r="G20" s="1"/>
      <c r="H20" s="1"/>
      <c r="I20" s="1"/>
    </row>
    <row r="21" ht="15.75" customHeight="1">
      <c r="F21" s="1"/>
      <c r="G21" s="1"/>
      <c r="H21" s="1"/>
      <c r="I21" s="1"/>
    </row>
    <row r="22" ht="15.75" customHeight="1">
      <c r="B22" s="3" t="s">
        <v>3</v>
      </c>
      <c r="C22" s="3" t="s">
        <v>4</v>
      </c>
      <c r="D22" s="3" t="s">
        <v>5</v>
      </c>
      <c r="E22" s="4" t="s">
        <v>6</v>
      </c>
      <c r="F22" s="5" t="s">
        <v>7</v>
      </c>
      <c r="G22" s="5" t="s">
        <v>8</v>
      </c>
      <c r="H22" s="2" t="s">
        <v>9</v>
      </c>
      <c r="I22" s="5"/>
      <c r="J22" s="5"/>
      <c r="K22" s="1">
        <f>505*267.23</f>
        <v>134951.15</v>
      </c>
      <c r="L22" s="1">
        <f>12*267.23</f>
        <v>3206.76</v>
      </c>
      <c r="N22" s="2">
        <f>12*E35</f>
        <v>32052</v>
      </c>
    </row>
    <row r="23" ht="15.75" customHeight="1">
      <c r="B23" s="3">
        <v>2.5</v>
      </c>
      <c r="C23" s="3">
        <v>21.0</v>
      </c>
      <c r="D23" s="3">
        <f t="shared" ref="D23:D34" si="1">B23^2</f>
        <v>6.25</v>
      </c>
      <c r="E23" s="4">
        <f t="shared" ref="E23:E34" si="2">B23*C23</f>
        <v>52.5</v>
      </c>
      <c r="F23" s="5">
        <f t="shared" ref="F23:F34" si="3">$E$38+($E$39*B23)</f>
        <v>26.2288106</v>
      </c>
      <c r="G23" s="2">
        <f t="shared" ref="G23:G34" si="4">C23-F23</f>
        <v>-5.228810603</v>
      </c>
      <c r="H23" s="2">
        <f t="shared" ref="H23:H34" si="5">G23^2</f>
        <v>27.34046033</v>
      </c>
      <c r="K23" s="1">
        <f>49.9*2671</f>
        <v>133282.9</v>
      </c>
      <c r="L23" s="1">
        <f>49.9^2</f>
        <v>2490.01</v>
      </c>
      <c r="N23" s="2">
        <f>B35*C35</f>
        <v>25199.5</v>
      </c>
      <c r="P23" s="2" t="s">
        <v>10</v>
      </c>
      <c r="Q23" s="2">
        <f>L25</f>
        <v>2.327520056</v>
      </c>
    </row>
    <row r="24" ht="15.75" customHeight="1">
      <c r="B24" s="3">
        <v>3.2</v>
      </c>
      <c r="C24" s="3">
        <v>27.0</v>
      </c>
      <c r="D24" s="3">
        <f t="shared" si="1"/>
        <v>10.24</v>
      </c>
      <c r="E24" s="4">
        <f t="shared" si="2"/>
        <v>86.4</v>
      </c>
      <c r="F24" s="5">
        <f t="shared" si="3"/>
        <v>32.92117196</v>
      </c>
      <c r="G24" s="2">
        <f t="shared" si="4"/>
        <v>-5.921171957</v>
      </c>
      <c r="H24" s="2">
        <f t="shared" si="5"/>
        <v>35.06027734</v>
      </c>
      <c r="K24" s="1">
        <f t="shared" ref="K24:L24" si="6">K22-K23</f>
        <v>1668.25</v>
      </c>
      <c r="L24" s="1">
        <f t="shared" si="6"/>
        <v>716.75</v>
      </c>
      <c r="N24" s="2">
        <f>N22-N23</f>
        <v>6852.5</v>
      </c>
      <c r="P24" s="2" t="s">
        <v>11</v>
      </c>
      <c r="Q24" s="2">
        <f>O25</f>
        <v>9.560516219</v>
      </c>
    </row>
    <row r="25" ht="15.75" customHeight="1">
      <c r="B25" s="3">
        <v>8.5</v>
      </c>
      <c r="C25" s="3">
        <v>75.0</v>
      </c>
      <c r="D25" s="3">
        <f t="shared" si="1"/>
        <v>72.25</v>
      </c>
      <c r="E25" s="4">
        <f t="shared" si="2"/>
        <v>637.5</v>
      </c>
      <c r="F25" s="5">
        <f t="shared" si="3"/>
        <v>83.59190792</v>
      </c>
      <c r="G25" s="2">
        <f t="shared" si="4"/>
        <v>-8.591907918</v>
      </c>
      <c r="H25" s="2">
        <f t="shared" si="5"/>
        <v>73.82088167</v>
      </c>
      <c r="K25" s="1"/>
      <c r="L25" s="6">
        <f>K24/L24</f>
        <v>2.327520056</v>
      </c>
      <c r="O25" s="2">
        <f>N24/L24</f>
        <v>9.560516219</v>
      </c>
    </row>
    <row r="26" ht="15.75" customHeight="1">
      <c r="B26" s="3">
        <v>3.5</v>
      </c>
      <c r="C26" s="3">
        <v>30.0</v>
      </c>
      <c r="D26" s="3">
        <f t="shared" si="1"/>
        <v>12.25</v>
      </c>
      <c r="E26" s="4">
        <f t="shared" si="2"/>
        <v>105</v>
      </c>
      <c r="F26" s="5">
        <f t="shared" si="3"/>
        <v>35.78932682</v>
      </c>
      <c r="G26" s="2">
        <f t="shared" si="4"/>
        <v>-5.789326822</v>
      </c>
      <c r="H26" s="2">
        <f t="shared" si="5"/>
        <v>33.51630506</v>
      </c>
      <c r="K26" s="1"/>
      <c r="L26" s="1"/>
    </row>
    <row r="27" ht="15.75" customHeight="1">
      <c r="B27" s="3">
        <v>1.5</v>
      </c>
      <c r="C27" s="3">
        <v>20.0</v>
      </c>
      <c r="D27" s="3">
        <f t="shared" si="1"/>
        <v>2.25</v>
      </c>
      <c r="E27" s="4">
        <f t="shared" si="2"/>
        <v>30</v>
      </c>
      <c r="F27" s="5">
        <f t="shared" si="3"/>
        <v>16.66829438</v>
      </c>
      <c r="G27" s="2">
        <f t="shared" si="4"/>
        <v>3.331705616</v>
      </c>
      <c r="H27" s="2">
        <f t="shared" si="5"/>
        <v>11.10026231</v>
      </c>
      <c r="K27" s="1"/>
      <c r="L27" s="7" t="s">
        <v>12</v>
      </c>
      <c r="M27" s="7"/>
      <c r="N27" s="7"/>
    </row>
    <row r="28" ht="15.75" customHeight="1">
      <c r="B28" s="3">
        <v>5.5</v>
      </c>
      <c r="C28" s="3">
        <v>60.0</v>
      </c>
      <c r="D28" s="3">
        <f t="shared" si="1"/>
        <v>30.25</v>
      </c>
      <c r="E28" s="4">
        <f t="shared" si="2"/>
        <v>330</v>
      </c>
      <c r="F28" s="5">
        <f t="shared" si="3"/>
        <v>54.91035926</v>
      </c>
      <c r="G28" s="2">
        <f t="shared" si="4"/>
        <v>5.089640739</v>
      </c>
      <c r="H28" s="2">
        <f t="shared" si="5"/>
        <v>25.90444286</v>
      </c>
      <c r="K28" s="5"/>
      <c r="L28" s="5"/>
      <c r="M28" s="5"/>
      <c r="N28" s="5"/>
      <c r="O28" s="5"/>
    </row>
    <row r="29" ht="15.75" customHeight="1">
      <c r="B29" s="3">
        <v>2.7</v>
      </c>
      <c r="C29" s="3">
        <v>25.0</v>
      </c>
      <c r="D29" s="3">
        <f t="shared" si="1"/>
        <v>7.29</v>
      </c>
      <c r="E29" s="4">
        <f t="shared" si="2"/>
        <v>67.5</v>
      </c>
      <c r="F29" s="5">
        <f t="shared" si="3"/>
        <v>28.14091385</v>
      </c>
      <c r="G29" s="2">
        <f t="shared" si="4"/>
        <v>-3.140913847</v>
      </c>
      <c r="H29" s="2">
        <f t="shared" si="5"/>
        <v>9.865339796</v>
      </c>
      <c r="K29" s="5"/>
      <c r="L29" s="5"/>
      <c r="M29" s="5"/>
      <c r="N29" s="5"/>
      <c r="O29" s="5"/>
    </row>
    <row r="30" ht="15.75" customHeight="1">
      <c r="B30" s="3">
        <v>7.7</v>
      </c>
      <c r="C30" s="3">
        <v>85.0</v>
      </c>
      <c r="D30" s="3">
        <f t="shared" si="1"/>
        <v>59.29</v>
      </c>
      <c r="E30" s="4">
        <f t="shared" si="2"/>
        <v>654.5</v>
      </c>
      <c r="F30" s="5">
        <f t="shared" si="3"/>
        <v>75.94349494</v>
      </c>
      <c r="G30" s="2">
        <f t="shared" si="4"/>
        <v>9.056505058</v>
      </c>
      <c r="H30" s="2">
        <f t="shared" si="5"/>
        <v>82.02028386</v>
      </c>
      <c r="K30" s="5"/>
      <c r="L30" s="5"/>
      <c r="M30" s="5"/>
      <c r="N30" s="5"/>
      <c r="O30" s="5"/>
    </row>
    <row r="31" ht="15.75" customHeight="1">
      <c r="B31" s="3">
        <v>5.9</v>
      </c>
      <c r="C31" s="3">
        <v>62.0</v>
      </c>
      <c r="D31" s="3">
        <f t="shared" si="1"/>
        <v>34.81</v>
      </c>
      <c r="E31" s="4">
        <f t="shared" si="2"/>
        <v>365.8</v>
      </c>
      <c r="F31" s="5">
        <f t="shared" si="3"/>
        <v>58.73456575</v>
      </c>
      <c r="G31" s="2">
        <f t="shared" si="4"/>
        <v>3.265434252</v>
      </c>
      <c r="H31" s="2">
        <f t="shared" si="5"/>
        <v>10.66306085</v>
      </c>
      <c r="K31" s="5"/>
      <c r="L31" s="5"/>
      <c r="M31" s="5"/>
      <c r="N31" s="5"/>
      <c r="O31" s="5"/>
    </row>
    <row r="32" ht="15.75" customHeight="1">
      <c r="B32" s="3">
        <v>4.5</v>
      </c>
      <c r="C32" s="3">
        <v>41.0</v>
      </c>
      <c r="D32" s="3">
        <f t="shared" si="1"/>
        <v>20.25</v>
      </c>
      <c r="E32" s="4">
        <f t="shared" si="2"/>
        <v>184.5</v>
      </c>
      <c r="F32" s="5">
        <f t="shared" si="3"/>
        <v>45.34984304</v>
      </c>
      <c r="G32" s="2">
        <f t="shared" si="4"/>
        <v>-4.349843042</v>
      </c>
      <c r="H32" s="2">
        <f t="shared" si="5"/>
        <v>18.92113449</v>
      </c>
      <c r="K32" s="5"/>
      <c r="L32" s="5"/>
      <c r="M32" s="5"/>
      <c r="N32" s="5"/>
      <c r="O32" s="5"/>
    </row>
    <row r="33" ht="15.75" customHeight="1">
      <c r="B33" s="3">
        <v>3.3</v>
      </c>
      <c r="C33" s="3">
        <v>42.0</v>
      </c>
      <c r="D33" s="3">
        <f t="shared" si="1"/>
        <v>10.89</v>
      </c>
      <c r="E33" s="4">
        <f t="shared" si="2"/>
        <v>138.6</v>
      </c>
      <c r="F33" s="5">
        <f t="shared" si="3"/>
        <v>33.87722358</v>
      </c>
      <c r="G33" s="2">
        <f t="shared" si="4"/>
        <v>8.122776421</v>
      </c>
      <c r="H33" s="2">
        <f t="shared" si="5"/>
        <v>65.97949679</v>
      </c>
      <c r="K33" s="2" t="s">
        <v>13</v>
      </c>
      <c r="L33" s="5">
        <f>SQRT(H35/12)</f>
        <v>5.855649343</v>
      </c>
      <c r="M33" s="5"/>
      <c r="N33" s="5"/>
      <c r="O33" s="5"/>
    </row>
    <row r="34" ht="15.75" customHeight="1">
      <c r="B34" s="3">
        <v>1.1</v>
      </c>
      <c r="C34" s="3">
        <v>17.0</v>
      </c>
      <c r="D34" s="3">
        <f t="shared" si="1"/>
        <v>1.21</v>
      </c>
      <c r="E34" s="4">
        <f t="shared" si="2"/>
        <v>18.7</v>
      </c>
      <c r="F34" s="5">
        <f t="shared" si="3"/>
        <v>12.8440879</v>
      </c>
      <c r="G34" s="2">
        <f t="shared" si="4"/>
        <v>4.155912103</v>
      </c>
      <c r="H34" s="2">
        <f t="shared" si="5"/>
        <v>17.27160541</v>
      </c>
    </row>
    <row r="35" ht="15.75" customHeight="1">
      <c r="B35" s="8">
        <f t="shared" ref="B35:E35" si="7">SUM(B23:B34)</f>
        <v>49.9</v>
      </c>
      <c r="C35" s="8">
        <f t="shared" si="7"/>
        <v>505</v>
      </c>
      <c r="D35" s="8">
        <f t="shared" si="7"/>
        <v>267.23</v>
      </c>
      <c r="E35" s="9">
        <f t="shared" si="7"/>
        <v>2671</v>
      </c>
      <c r="F35" s="5">
        <f>E50+E51*B35</f>
        <v>0</v>
      </c>
      <c r="G35" s="5"/>
      <c r="H35" s="5">
        <f>SUM(H23:H34)</f>
        <v>411.4635507</v>
      </c>
      <c r="I35" s="5"/>
    </row>
    <row r="36" ht="15.75" customHeight="1">
      <c r="F36" s="1"/>
      <c r="G36" s="1"/>
      <c r="H36" s="1"/>
      <c r="I36" s="1"/>
    </row>
    <row r="37" ht="15.75" customHeight="1">
      <c r="B37" s="10" t="s">
        <v>14</v>
      </c>
      <c r="C37" s="11">
        <v>12.0</v>
      </c>
      <c r="F37" s="1"/>
      <c r="G37" s="1"/>
    </row>
    <row r="38" ht="15.75" customHeight="1">
      <c r="D38" s="6" t="s">
        <v>15</v>
      </c>
      <c r="E38" s="6">
        <f>L25</f>
        <v>2.327520056</v>
      </c>
      <c r="F38" s="1"/>
      <c r="G38" s="1"/>
    </row>
    <row r="39" ht="15.75" customHeight="1">
      <c r="D39" s="12" t="s">
        <v>16</v>
      </c>
      <c r="E39" s="12">
        <f>O25</f>
        <v>9.560516219</v>
      </c>
      <c r="F39" s="1"/>
      <c r="G39" s="1"/>
    </row>
    <row r="40" ht="15.75" customHeight="1">
      <c r="F40" s="1"/>
      <c r="G40" s="1"/>
    </row>
    <row r="41" ht="15.75" customHeight="1">
      <c r="F41" s="1"/>
      <c r="G41" s="1"/>
    </row>
    <row r="42" ht="15.75" customHeight="1">
      <c r="B42" s="13">
        <v>4.3</v>
      </c>
      <c r="C42" s="13" t="s">
        <v>17</v>
      </c>
      <c r="D42" s="13"/>
      <c r="E42" s="13"/>
      <c r="F42" s="13"/>
      <c r="G42" s="1"/>
    </row>
    <row r="43" ht="15.75" customHeight="1">
      <c r="B43" s="2" t="s">
        <v>18</v>
      </c>
      <c r="C43" s="2">
        <f>+L25+O25*B42</f>
        <v>43.4377398</v>
      </c>
      <c r="D43" s="14" t="s">
        <v>19</v>
      </c>
      <c r="F43" s="1"/>
      <c r="G43" s="1"/>
      <c r="H43" s="1"/>
      <c r="I43" s="1"/>
    </row>
    <row r="44" ht="15.75" customHeight="1">
      <c r="B44" s="2" t="s">
        <v>20</v>
      </c>
      <c r="C44" s="2" t="s">
        <v>21</v>
      </c>
      <c r="E44" s="2">
        <f>43.44+5.86</f>
        <v>49.3</v>
      </c>
      <c r="F44" s="1"/>
      <c r="G44" s="1"/>
      <c r="H44" s="1"/>
      <c r="I44" s="1"/>
    </row>
    <row r="45" ht="15.75" customHeight="1">
      <c r="C45" s="2" t="s">
        <v>22</v>
      </c>
      <c r="E45" s="2">
        <f>43.44-5.86</f>
        <v>37.58</v>
      </c>
      <c r="F45" s="1"/>
      <c r="G45" s="1"/>
      <c r="H45" s="1"/>
      <c r="I45" s="1"/>
    </row>
    <row r="46" ht="15.75" customHeight="1">
      <c r="C46" s="2" t="s">
        <v>23</v>
      </c>
      <c r="F46" s="1"/>
      <c r="G46" s="1"/>
      <c r="H46" s="1"/>
      <c r="I46" s="1"/>
    </row>
    <row r="47" ht="15.75" customHeight="1">
      <c r="F47" s="1"/>
      <c r="G47" s="1"/>
      <c r="H47" s="1"/>
      <c r="I47" s="1"/>
    </row>
    <row r="48" ht="15.75" customHeight="1">
      <c r="F48" s="1"/>
      <c r="G48" s="1"/>
      <c r="H48" s="1"/>
      <c r="I48" s="1"/>
    </row>
    <row r="49" ht="15.75" customHeight="1">
      <c r="F49" s="1"/>
      <c r="G49" s="1"/>
      <c r="H49" s="1"/>
      <c r="I49" s="1"/>
    </row>
    <row r="50" ht="15.75" customHeight="1">
      <c r="F50" s="1"/>
      <c r="G50" s="1"/>
      <c r="H50" s="1"/>
      <c r="I50" s="1"/>
    </row>
    <row r="51" ht="15.75" customHeight="1">
      <c r="F51" s="1"/>
      <c r="G51" s="1"/>
      <c r="H51" s="1"/>
      <c r="I51" s="1"/>
    </row>
    <row r="52" ht="15.75" customHeight="1">
      <c r="F52" s="1"/>
      <c r="G52" s="1"/>
      <c r="H52" s="1"/>
      <c r="I52" s="1"/>
    </row>
    <row r="53" ht="15.75" customHeight="1">
      <c r="F53" s="1"/>
      <c r="G53" s="1"/>
      <c r="H53" s="1"/>
      <c r="I53" s="1"/>
    </row>
    <row r="54" ht="15.75" customHeight="1">
      <c r="F54" s="1"/>
      <c r="G54" s="1"/>
      <c r="H54" s="1"/>
      <c r="I54" s="1"/>
    </row>
    <row r="55" ht="15.75" customHeight="1">
      <c r="F55" s="1"/>
      <c r="G55" s="1"/>
      <c r="H55" s="1"/>
      <c r="I55" s="1"/>
    </row>
    <row r="56" ht="15.75" customHeight="1">
      <c r="F56" s="1"/>
      <c r="G56" s="1"/>
      <c r="H56" s="1"/>
      <c r="I56" s="1"/>
    </row>
    <row r="57" ht="15.75" customHeight="1">
      <c r="F57" s="1"/>
      <c r="G57" s="1"/>
      <c r="H57" s="1"/>
      <c r="I57" s="1"/>
    </row>
    <row r="58" ht="15.75" customHeight="1">
      <c r="F58" s="1"/>
      <c r="G58" s="1"/>
      <c r="H58" s="1"/>
      <c r="I58" s="1"/>
    </row>
    <row r="59" ht="15.75" customHeight="1">
      <c r="F59" s="1"/>
      <c r="G59" s="1"/>
      <c r="H59" s="1"/>
      <c r="I59" s="1"/>
    </row>
    <row r="60" ht="15.75" customHeight="1">
      <c r="F60" s="1"/>
      <c r="G60" s="1"/>
      <c r="H60" s="1"/>
      <c r="I60" s="1"/>
    </row>
    <row r="61" ht="15.75" customHeight="1">
      <c r="F61" s="1"/>
      <c r="G61" s="1"/>
      <c r="H61" s="1"/>
      <c r="I61" s="1"/>
    </row>
    <row r="62" ht="15.75" customHeight="1">
      <c r="F62" s="1"/>
      <c r="G62" s="1"/>
      <c r="H62" s="1"/>
      <c r="I62" s="1"/>
    </row>
    <row r="63" ht="15.75" customHeight="1">
      <c r="F63" s="1"/>
      <c r="G63" s="1"/>
      <c r="H63" s="1"/>
      <c r="I63" s="1"/>
    </row>
    <row r="64" ht="15.75" customHeight="1">
      <c r="F64" s="1"/>
      <c r="G64" s="1"/>
      <c r="H64" s="1"/>
      <c r="I64" s="1"/>
    </row>
    <row r="65" ht="15.75" customHeight="1">
      <c r="F65" s="1"/>
      <c r="G65" s="1"/>
      <c r="H65" s="1"/>
      <c r="I65" s="1"/>
    </row>
    <row r="66" ht="15.75" customHeight="1">
      <c r="F66" s="1"/>
      <c r="G66" s="1"/>
      <c r="H66" s="1"/>
      <c r="I66" s="1"/>
    </row>
    <row r="67" ht="15.75" customHeight="1">
      <c r="F67" s="1"/>
      <c r="G67" s="1"/>
      <c r="H67" s="1"/>
      <c r="I67" s="1"/>
    </row>
    <row r="68" ht="15.75" customHeight="1">
      <c r="F68" s="1"/>
      <c r="G68" s="1"/>
      <c r="H68" s="1"/>
      <c r="I68" s="1"/>
    </row>
    <row r="69" ht="15.75" customHeight="1">
      <c r="F69" s="1"/>
      <c r="G69" s="1"/>
      <c r="H69" s="1"/>
      <c r="I69" s="1"/>
    </row>
    <row r="70" ht="15.75" customHeight="1">
      <c r="F70" s="1"/>
      <c r="G70" s="1"/>
      <c r="H70" s="1"/>
      <c r="I70" s="1"/>
    </row>
    <row r="71" ht="15.75" customHeight="1">
      <c r="F71" s="1"/>
      <c r="G71" s="1"/>
      <c r="H71" s="1"/>
      <c r="I71" s="1"/>
    </row>
    <row r="72" ht="15.75" customHeight="1">
      <c r="F72" s="1"/>
      <c r="G72" s="1"/>
      <c r="H72" s="1"/>
      <c r="I72" s="1"/>
    </row>
    <row r="73" ht="15.75" customHeight="1">
      <c r="F73" s="1"/>
      <c r="G73" s="1"/>
      <c r="H73" s="1"/>
      <c r="I73" s="1"/>
    </row>
    <row r="74" ht="15.75" customHeight="1">
      <c r="F74" s="1"/>
      <c r="G74" s="1"/>
      <c r="H74" s="1"/>
      <c r="I74" s="1"/>
    </row>
    <row r="75" ht="15.75" customHeight="1">
      <c r="F75" s="1"/>
      <c r="G75" s="1"/>
      <c r="H75" s="1"/>
      <c r="I75" s="1"/>
    </row>
    <row r="76" ht="15.75" customHeight="1">
      <c r="F76" s="1"/>
      <c r="G76" s="1"/>
      <c r="H76" s="1"/>
      <c r="I76" s="1"/>
    </row>
    <row r="77" ht="15.75" customHeight="1">
      <c r="F77" s="1"/>
      <c r="G77" s="1"/>
      <c r="H77" s="1"/>
      <c r="I77" s="1"/>
    </row>
    <row r="78" ht="15.75" customHeight="1">
      <c r="F78" s="1"/>
      <c r="G78" s="1"/>
      <c r="H78" s="1"/>
      <c r="I78" s="1"/>
    </row>
    <row r="79" ht="15.75" customHeight="1">
      <c r="F79" s="1"/>
      <c r="G79" s="1"/>
      <c r="H79" s="1"/>
      <c r="I79" s="1"/>
    </row>
    <row r="80" ht="15.75" customHeight="1">
      <c r="F80" s="1"/>
      <c r="G80" s="1"/>
      <c r="H80" s="1"/>
      <c r="I80" s="1"/>
    </row>
    <row r="81" ht="15.75" customHeight="1">
      <c r="F81" s="1"/>
      <c r="G81" s="1"/>
      <c r="H81" s="1"/>
      <c r="I81" s="1"/>
    </row>
    <row r="82" ht="15.75" customHeight="1">
      <c r="F82" s="1"/>
      <c r="G82" s="1"/>
      <c r="H82" s="1"/>
      <c r="I82" s="1"/>
    </row>
    <row r="83" ht="15.75" customHeight="1">
      <c r="F83" s="1"/>
      <c r="G83" s="1"/>
      <c r="H83" s="1"/>
      <c r="I83" s="1"/>
    </row>
    <row r="84" ht="15.75" customHeight="1">
      <c r="F84" s="1"/>
      <c r="G84" s="1"/>
      <c r="H84" s="1"/>
      <c r="I84" s="1"/>
    </row>
    <row r="85" ht="15.75" customHeight="1">
      <c r="F85" s="1"/>
      <c r="G85" s="1"/>
      <c r="H85" s="1"/>
      <c r="I85" s="1"/>
    </row>
    <row r="86" ht="15.75" customHeight="1">
      <c r="F86" s="1"/>
      <c r="G86" s="1"/>
      <c r="H86" s="1"/>
      <c r="I86" s="1"/>
    </row>
    <row r="87" ht="15.75" customHeight="1">
      <c r="F87" s="1"/>
      <c r="G87" s="1"/>
      <c r="H87" s="1"/>
      <c r="I87" s="1"/>
    </row>
    <row r="88" ht="15.75" customHeight="1">
      <c r="F88" s="1"/>
      <c r="G88" s="1"/>
      <c r="H88" s="1"/>
      <c r="I88" s="1"/>
    </row>
    <row r="89" ht="15.75" customHeight="1">
      <c r="F89" s="1"/>
      <c r="G89" s="1"/>
      <c r="H89" s="1"/>
      <c r="I89" s="1"/>
    </row>
    <row r="90" ht="15.75" customHeight="1">
      <c r="F90" s="1"/>
      <c r="G90" s="1"/>
      <c r="H90" s="1"/>
      <c r="I90" s="1"/>
    </row>
    <row r="91" ht="15.75" customHeight="1">
      <c r="F91" s="1"/>
      <c r="G91" s="1"/>
      <c r="H91" s="1"/>
      <c r="I91" s="1"/>
    </row>
    <row r="92" ht="15.75" customHeight="1">
      <c r="F92" s="1"/>
      <c r="G92" s="1"/>
      <c r="H92" s="1"/>
      <c r="I92" s="1"/>
    </row>
    <row r="93" ht="15.75" customHeight="1">
      <c r="F93" s="1"/>
      <c r="G93" s="1"/>
      <c r="H93" s="1"/>
      <c r="I93" s="1"/>
    </row>
    <row r="94" ht="15.75" customHeight="1">
      <c r="F94" s="1"/>
      <c r="G94" s="1"/>
      <c r="H94" s="1"/>
      <c r="I94" s="1"/>
    </row>
    <row r="95" ht="15.75" customHeight="1">
      <c r="F95" s="1"/>
      <c r="G95" s="1"/>
      <c r="H95" s="1"/>
      <c r="I95" s="1"/>
    </row>
    <row r="96" ht="15.75" customHeight="1">
      <c r="F96" s="1"/>
      <c r="G96" s="1"/>
      <c r="H96" s="1"/>
      <c r="I96" s="1"/>
    </row>
    <row r="97" ht="15.75" customHeight="1">
      <c r="F97" s="1"/>
      <c r="G97" s="1"/>
      <c r="H97" s="1"/>
      <c r="I97" s="1"/>
    </row>
    <row r="98" ht="15.75" customHeight="1">
      <c r="F98" s="1"/>
      <c r="G98" s="1"/>
      <c r="H98" s="1"/>
      <c r="I98" s="1"/>
    </row>
    <row r="99" ht="15.75" customHeight="1">
      <c r="F99" s="1"/>
      <c r="G99" s="1"/>
      <c r="H99" s="1"/>
      <c r="I99" s="1"/>
    </row>
    <row r="100" ht="15.75" customHeight="1">
      <c r="F100" s="1"/>
      <c r="G100" s="1"/>
      <c r="H100" s="1"/>
      <c r="I100" s="1"/>
    </row>
    <row r="101" ht="15.75" customHeight="1">
      <c r="F101" s="1"/>
      <c r="G101" s="1"/>
      <c r="H101" s="1"/>
      <c r="I101" s="1"/>
    </row>
    <row r="102" ht="15.75" customHeight="1">
      <c r="F102" s="1"/>
      <c r="G102" s="1"/>
      <c r="H102" s="1"/>
      <c r="I102" s="1"/>
    </row>
    <row r="103" ht="15.75" customHeight="1">
      <c r="F103" s="1"/>
      <c r="G103" s="1"/>
      <c r="H103" s="1"/>
      <c r="I103" s="1"/>
    </row>
    <row r="104" ht="15.75" customHeight="1">
      <c r="F104" s="1"/>
      <c r="G104" s="1"/>
      <c r="H104" s="1"/>
      <c r="I104" s="1"/>
    </row>
    <row r="105" ht="15.75" customHeight="1">
      <c r="F105" s="1"/>
      <c r="G105" s="1"/>
      <c r="H105" s="1"/>
      <c r="I105" s="1"/>
    </row>
    <row r="106" ht="15.75" customHeight="1">
      <c r="F106" s="1"/>
      <c r="G106" s="1"/>
      <c r="H106" s="1"/>
      <c r="I106" s="1"/>
    </row>
    <row r="107" ht="15.75" customHeight="1">
      <c r="F107" s="1"/>
      <c r="G107" s="1"/>
      <c r="H107" s="1"/>
      <c r="I107" s="1"/>
    </row>
    <row r="108" ht="15.75" customHeight="1">
      <c r="F108" s="1"/>
      <c r="G108" s="1"/>
      <c r="H108" s="1"/>
      <c r="I108" s="1"/>
    </row>
    <row r="109" ht="15.75" customHeight="1">
      <c r="F109" s="1"/>
      <c r="G109" s="1"/>
      <c r="H109" s="1"/>
      <c r="I109" s="1"/>
    </row>
    <row r="110" ht="15.75" customHeight="1">
      <c r="F110" s="1"/>
      <c r="G110" s="1"/>
      <c r="H110" s="1"/>
      <c r="I110" s="1"/>
    </row>
    <row r="111" ht="15.75" customHeight="1">
      <c r="F111" s="1"/>
      <c r="G111" s="1"/>
      <c r="H111" s="1"/>
      <c r="I111" s="1"/>
    </row>
    <row r="112" ht="15.75" customHeight="1">
      <c r="F112" s="1"/>
      <c r="G112" s="1"/>
      <c r="H112" s="1"/>
      <c r="I112" s="1"/>
    </row>
    <row r="113" ht="15.75" customHeight="1">
      <c r="F113" s="1"/>
      <c r="G113" s="1"/>
      <c r="H113" s="1"/>
      <c r="I113" s="1"/>
    </row>
    <row r="114" ht="15.75" customHeight="1">
      <c r="F114" s="1"/>
      <c r="G114" s="1"/>
      <c r="H114" s="1"/>
      <c r="I114" s="1"/>
    </row>
    <row r="115" ht="15.75" customHeight="1">
      <c r="F115" s="1"/>
      <c r="G115" s="1"/>
      <c r="H115" s="1"/>
      <c r="I115" s="1"/>
    </row>
    <row r="116" ht="15.75" customHeight="1">
      <c r="F116" s="1"/>
      <c r="G116" s="1"/>
      <c r="H116" s="1"/>
      <c r="I116" s="1"/>
    </row>
    <row r="117" ht="15.75" customHeight="1">
      <c r="F117" s="1"/>
      <c r="G117" s="1"/>
      <c r="H117" s="1"/>
      <c r="I117" s="1"/>
    </row>
    <row r="118" ht="15.75" customHeight="1">
      <c r="F118" s="1"/>
      <c r="G118" s="1"/>
      <c r="H118" s="1"/>
      <c r="I118" s="1"/>
    </row>
    <row r="119" ht="15.75" customHeight="1">
      <c r="F119" s="1"/>
      <c r="G119" s="1"/>
      <c r="H119" s="1"/>
      <c r="I119" s="1"/>
    </row>
    <row r="120" ht="15.75" customHeight="1">
      <c r="F120" s="1"/>
      <c r="G120" s="1"/>
      <c r="H120" s="1"/>
      <c r="I120" s="1"/>
    </row>
    <row r="121" ht="15.75" customHeight="1">
      <c r="F121" s="1"/>
      <c r="G121" s="1"/>
      <c r="H121" s="1"/>
      <c r="I121" s="1"/>
    </row>
    <row r="122" ht="15.75" customHeight="1">
      <c r="F122" s="1"/>
      <c r="G122" s="1"/>
      <c r="H122" s="1"/>
      <c r="I122" s="1"/>
    </row>
    <row r="123" ht="15.75" customHeight="1">
      <c r="F123" s="1"/>
      <c r="G123" s="1"/>
      <c r="H123" s="1"/>
      <c r="I123" s="1"/>
    </row>
    <row r="124" ht="15.75" customHeight="1">
      <c r="F124" s="1"/>
      <c r="G124" s="1"/>
      <c r="H124" s="1"/>
      <c r="I124" s="1"/>
    </row>
    <row r="125" ht="15.75" customHeight="1">
      <c r="F125" s="1"/>
      <c r="G125" s="1"/>
      <c r="H125" s="1"/>
      <c r="I125" s="1"/>
    </row>
    <row r="126" ht="15.75" customHeight="1">
      <c r="F126" s="1"/>
      <c r="G126" s="1"/>
      <c r="H126" s="1"/>
      <c r="I126" s="1"/>
    </row>
    <row r="127" ht="15.75" customHeight="1">
      <c r="F127" s="1"/>
      <c r="G127" s="1"/>
      <c r="H127" s="1"/>
      <c r="I127" s="1"/>
    </row>
    <row r="128" ht="15.75" customHeight="1">
      <c r="F128" s="1"/>
      <c r="G128" s="1"/>
      <c r="H128" s="1"/>
      <c r="I128" s="1"/>
    </row>
    <row r="129" ht="15.75" customHeight="1">
      <c r="F129" s="1"/>
      <c r="G129" s="1"/>
      <c r="H129" s="1"/>
      <c r="I129" s="1"/>
    </row>
    <row r="130" ht="15.75" customHeight="1">
      <c r="F130" s="1"/>
      <c r="G130" s="1"/>
      <c r="H130" s="1"/>
      <c r="I130" s="1"/>
    </row>
    <row r="131" ht="15.75" customHeight="1">
      <c r="F131" s="1"/>
      <c r="G131" s="1"/>
      <c r="H131" s="1"/>
      <c r="I131" s="1"/>
    </row>
    <row r="132" ht="15.75" customHeight="1">
      <c r="F132" s="1"/>
      <c r="G132" s="1"/>
      <c r="H132" s="1"/>
      <c r="I132" s="1"/>
    </row>
    <row r="133" ht="15.75" customHeight="1">
      <c r="F133" s="1"/>
      <c r="G133" s="1"/>
      <c r="H133" s="1"/>
      <c r="I133" s="1"/>
    </row>
    <row r="134" ht="15.75" customHeight="1">
      <c r="F134" s="1"/>
      <c r="G134" s="1"/>
      <c r="H134" s="1"/>
      <c r="I134" s="1"/>
    </row>
    <row r="135" ht="15.75" customHeight="1">
      <c r="F135" s="1"/>
      <c r="G135" s="1"/>
      <c r="H135" s="1"/>
      <c r="I135" s="1"/>
    </row>
    <row r="136" ht="15.75" customHeight="1">
      <c r="F136" s="1"/>
      <c r="G136" s="1"/>
      <c r="H136" s="1"/>
      <c r="I136" s="1"/>
    </row>
    <row r="137" ht="15.75" customHeight="1">
      <c r="F137" s="1"/>
      <c r="G137" s="1"/>
      <c r="H137" s="1"/>
      <c r="I137" s="1"/>
    </row>
    <row r="138" ht="15.75" customHeight="1">
      <c r="F138" s="1"/>
      <c r="G138" s="1"/>
      <c r="H138" s="1"/>
      <c r="I138" s="1"/>
    </row>
    <row r="139" ht="15.75" customHeight="1">
      <c r="F139" s="1"/>
      <c r="G139" s="1"/>
      <c r="H139" s="1"/>
      <c r="I139" s="1"/>
    </row>
    <row r="140" ht="15.75" customHeight="1">
      <c r="F140" s="1"/>
      <c r="G140" s="1"/>
      <c r="H140" s="1"/>
      <c r="I140" s="1"/>
    </row>
    <row r="141" ht="15.75" customHeight="1">
      <c r="F141" s="1"/>
      <c r="G141" s="1"/>
      <c r="H141" s="1"/>
      <c r="I141" s="1"/>
    </row>
    <row r="142" ht="15.75" customHeight="1">
      <c r="F142" s="1"/>
      <c r="G142" s="1"/>
      <c r="H142" s="1"/>
      <c r="I142" s="1"/>
    </row>
    <row r="143" ht="15.75" customHeight="1">
      <c r="F143" s="1"/>
      <c r="G143" s="1"/>
      <c r="H143" s="1"/>
      <c r="I143" s="1"/>
    </row>
    <row r="144" ht="15.75" customHeight="1">
      <c r="F144" s="1"/>
      <c r="G144" s="1"/>
      <c r="H144" s="1"/>
      <c r="I144" s="1"/>
    </row>
    <row r="145" ht="15.75" customHeight="1">
      <c r="F145" s="1"/>
      <c r="G145" s="1"/>
      <c r="H145" s="1"/>
      <c r="I145" s="1"/>
    </row>
    <row r="146" ht="15.75" customHeight="1">
      <c r="F146" s="1"/>
      <c r="G146" s="1"/>
      <c r="H146" s="1"/>
      <c r="I146" s="1"/>
    </row>
    <row r="147" ht="15.75" customHeight="1">
      <c r="F147" s="1"/>
      <c r="G147" s="1"/>
      <c r="H147" s="1"/>
      <c r="I147" s="1"/>
    </row>
    <row r="148" ht="15.75" customHeight="1">
      <c r="F148" s="1"/>
      <c r="G148" s="1"/>
      <c r="H148" s="1"/>
      <c r="I148" s="1"/>
    </row>
    <row r="149" ht="15.75" customHeight="1">
      <c r="F149" s="1"/>
      <c r="G149" s="1"/>
      <c r="H149" s="1"/>
      <c r="I149" s="1"/>
    </row>
    <row r="150" ht="15.75" customHeight="1">
      <c r="F150" s="1"/>
      <c r="G150" s="1"/>
      <c r="H150" s="1"/>
      <c r="I150" s="1"/>
    </row>
    <row r="151" ht="15.75" customHeight="1">
      <c r="F151" s="1"/>
      <c r="G151" s="1"/>
      <c r="H151" s="1"/>
      <c r="I151" s="1"/>
    </row>
    <row r="152" ht="15.75" customHeight="1">
      <c r="F152" s="1"/>
      <c r="G152" s="1"/>
      <c r="H152" s="1"/>
      <c r="I152" s="1"/>
    </row>
    <row r="153" ht="15.75" customHeight="1">
      <c r="F153" s="1"/>
      <c r="G153" s="1"/>
      <c r="H153" s="1"/>
      <c r="I153" s="1"/>
    </row>
    <row r="154" ht="15.75" customHeight="1">
      <c r="F154" s="1"/>
      <c r="G154" s="1"/>
      <c r="H154" s="1"/>
      <c r="I154" s="1"/>
    </row>
    <row r="155" ht="15.75" customHeight="1">
      <c r="F155" s="1"/>
      <c r="G155" s="1"/>
      <c r="H155" s="1"/>
      <c r="I155" s="1"/>
    </row>
    <row r="156" ht="15.75" customHeight="1">
      <c r="F156" s="1"/>
      <c r="G156" s="1"/>
      <c r="H156" s="1"/>
      <c r="I156" s="1"/>
    </row>
    <row r="157" ht="15.75" customHeight="1">
      <c r="F157" s="1"/>
      <c r="G157" s="1"/>
      <c r="H157" s="1"/>
      <c r="I157" s="1"/>
    </row>
    <row r="158" ht="15.75" customHeight="1">
      <c r="F158" s="1"/>
      <c r="G158" s="1"/>
      <c r="H158" s="1"/>
      <c r="I158" s="1"/>
    </row>
    <row r="159" ht="15.75" customHeight="1">
      <c r="F159" s="1"/>
      <c r="G159" s="1"/>
      <c r="H159" s="1"/>
      <c r="I159" s="1"/>
    </row>
    <row r="160" ht="15.75" customHeight="1">
      <c r="F160" s="1"/>
      <c r="G160" s="1"/>
      <c r="H160" s="1"/>
      <c r="I160" s="1"/>
    </row>
    <row r="161" ht="15.75" customHeight="1">
      <c r="F161" s="1"/>
      <c r="G161" s="1"/>
      <c r="H161" s="1"/>
      <c r="I161" s="1"/>
    </row>
    <row r="162" ht="15.75" customHeight="1">
      <c r="F162" s="1"/>
      <c r="G162" s="1"/>
      <c r="H162" s="1"/>
      <c r="I162" s="1"/>
    </row>
    <row r="163" ht="15.75" customHeight="1">
      <c r="F163" s="1"/>
      <c r="G163" s="1"/>
      <c r="H163" s="1"/>
      <c r="I163" s="1"/>
    </row>
    <row r="164" ht="15.75" customHeight="1">
      <c r="F164" s="1"/>
      <c r="G164" s="1"/>
      <c r="H164" s="1"/>
      <c r="I164" s="1"/>
    </row>
    <row r="165" ht="15.75" customHeight="1">
      <c r="F165" s="1"/>
      <c r="G165" s="1"/>
      <c r="H165" s="1"/>
      <c r="I165" s="1"/>
    </row>
    <row r="166" ht="15.75" customHeight="1">
      <c r="F166" s="1"/>
      <c r="G166" s="1"/>
      <c r="H166" s="1"/>
      <c r="I166" s="1"/>
    </row>
    <row r="167" ht="15.75" customHeight="1">
      <c r="F167" s="1"/>
      <c r="G167" s="1"/>
      <c r="H167" s="1"/>
      <c r="I167" s="1"/>
    </row>
    <row r="168" ht="15.75" customHeight="1">
      <c r="F168" s="1"/>
      <c r="G168" s="1"/>
      <c r="H168" s="1"/>
      <c r="I168" s="1"/>
    </row>
    <row r="169" ht="15.75" customHeight="1">
      <c r="F169" s="1"/>
      <c r="G169" s="1"/>
      <c r="H169" s="1"/>
      <c r="I169" s="1"/>
    </row>
    <row r="170" ht="15.75" customHeight="1">
      <c r="F170" s="1"/>
      <c r="G170" s="1"/>
      <c r="H170" s="1"/>
      <c r="I170" s="1"/>
    </row>
    <row r="171" ht="15.75" customHeight="1">
      <c r="F171" s="1"/>
      <c r="G171" s="1"/>
      <c r="H171" s="1"/>
      <c r="I171" s="1"/>
    </row>
    <row r="172" ht="15.75" customHeight="1">
      <c r="F172" s="1"/>
      <c r="G172" s="1"/>
      <c r="H172" s="1"/>
      <c r="I172" s="1"/>
    </row>
    <row r="173" ht="15.75" customHeight="1">
      <c r="F173" s="1"/>
      <c r="G173" s="1"/>
      <c r="H173" s="1"/>
      <c r="I173" s="1"/>
    </row>
    <row r="174" ht="15.75" customHeight="1">
      <c r="F174" s="1"/>
      <c r="G174" s="1"/>
      <c r="H174" s="1"/>
      <c r="I174" s="1"/>
    </row>
    <row r="175" ht="15.75" customHeight="1">
      <c r="F175" s="1"/>
      <c r="G175" s="1"/>
      <c r="H175" s="1"/>
      <c r="I175" s="1"/>
    </row>
    <row r="176" ht="15.75" customHeight="1">
      <c r="F176" s="1"/>
      <c r="G176" s="1"/>
      <c r="H176" s="1"/>
      <c r="I176" s="1"/>
    </row>
    <row r="177" ht="15.75" customHeight="1">
      <c r="F177" s="1"/>
      <c r="G177" s="1"/>
      <c r="H177" s="1"/>
      <c r="I177" s="1"/>
    </row>
    <row r="178" ht="15.75" customHeight="1">
      <c r="F178" s="1"/>
      <c r="G178" s="1"/>
      <c r="H178" s="1"/>
      <c r="I178" s="1"/>
    </row>
    <row r="179" ht="15.75" customHeight="1">
      <c r="F179" s="1"/>
      <c r="G179" s="1"/>
      <c r="H179" s="1"/>
      <c r="I179" s="1"/>
    </row>
    <row r="180" ht="15.75" customHeight="1">
      <c r="F180" s="1"/>
      <c r="G180" s="1"/>
      <c r="H180" s="1"/>
      <c r="I180" s="1"/>
    </row>
    <row r="181" ht="15.75" customHeight="1">
      <c r="F181" s="1"/>
      <c r="G181" s="1"/>
      <c r="H181" s="1"/>
      <c r="I181" s="1"/>
    </row>
    <row r="182" ht="15.75" customHeight="1">
      <c r="F182" s="1"/>
      <c r="G182" s="1"/>
      <c r="H182" s="1"/>
      <c r="I182" s="1"/>
    </row>
    <row r="183" ht="15.75" customHeight="1">
      <c r="F183" s="1"/>
      <c r="G183" s="1"/>
      <c r="H183" s="1"/>
      <c r="I183" s="1"/>
    </row>
    <row r="184" ht="15.75" customHeight="1">
      <c r="F184" s="1"/>
      <c r="G184" s="1"/>
      <c r="H184" s="1"/>
      <c r="I184" s="1"/>
    </row>
    <row r="185" ht="15.75" customHeight="1">
      <c r="F185" s="1"/>
      <c r="G185" s="1"/>
      <c r="H185" s="1"/>
      <c r="I185" s="1"/>
    </row>
    <row r="186" ht="15.75" customHeight="1">
      <c r="F186" s="1"/>
      <c r="G186" s="1"/>
      <c r="H186" s="1"/>
      <c r="I186" s="1"/>
    </row>
    <row r="187" ht="15.75" customHeight="1">
      <c r="F187" s="1"/>
      <c r="G187" s="1"/>
      <c r="H187" s="1"/>
      <c r="I187" s="1"/>
    </row>
    <row r="188" ht="15.75" customHeight="1">
      <c r="F188" s="1"/>
      <c r="G188" s="1"/>
      <c r="H188" s="1"/>
      <c r="I188" s="1"/>
    </row>
    <row r="189" ht="15.75" customHeight="1">
      <c r="F189" s="1"/>
      <c r="G189" s="1"/>
      <c r="H189" s="1"/>
      <c r="I189" s="1"/>
    </row>
    <row r="190" ht="15.75" customHeight="1">
      <c r="F190" s="1"/>
      <c r="G190" s="1"/>
      <c r="H190" s="1"/>
      <c r="I190" s="1"/>
    </row>
    <row r="191" ht="15.75" customHeight="1">
      <c r="F191" s="1"/>
      <c r="G191" s="1"/>
      <c r="H191" s="1"/>
      <c r="I191" s="1"/>
    </row>
    <row r="192" ht="15.75" customHeight="1">
      <c r="F192" s="1"/>
      <c r="G192" s="1"/>
      <c r="H192" s="1"/>
      <c r="I192" s="1"/>
    </row>
    <row r="193" ht="15.75" customHeight="1">
      <c r="F193" s="1"/>
      <c r="G193" s="1"/>
      <c r="H193" s="1"/>
      <c r="I193" s="1"/>
    </row>
    <row r="194" ht="15.75" customHeight="1">
      <c r="F194" s="1"/>
      <c r="G194" s="1"/>
      <c r="H194" s="1"/>
      <c r="I194" s="1"/>
    </row>
    <row r="195" ht="15.75" customHeight="1">
      <c r="F195" s="1"/>
      <c r="G195" s="1"/>
      <c r="H195" s="1"/>
      <c r="I195" s="1"/>
    </row>
    <row r="196" ht="15.75" customHeight="1">
      <c r="F196" s="1"/>
      <c r="G196" s="1"/>
      <c r="H196" s="1"/>
      <c r="I196" s="1"/>
    </row>
    <row r="197" ht="15.75" customHeight="1">
      <c r="F197" s="1"/>
      <c r="G197" s="1"/>
      <c r="H197" s="1"/>
      <c r="I197" s="1"/>
    </row>
    <row r="198" ht="15.75" customHeight="1">
      <c r="F198" s="1"/>
      <c r="G198" s="1"/>
      <c r="H198" s="1"/>
      <c r="I198" s="1"/>
    </row>
    <row r="199" ht="15.75" customHeight="1">
      <c r="F199" s="1"/>
      <c r="G199" s="1"/>
      <c r="H199" s="1"/>
      <c r="I199" s="1"/>
    </row>
    <row r="200" ht="15.75" customHeight="1">
      <c r="F200" s="1"/>
      <c r="G200" s="1"/>
      <c r="H200" s="1"/>
      <c r="I200" s="1"/>
    </row>
    <row r="201" ht="15.75" customHeight="1">
      <c r="F201" s="1"/>
      <c r="G201" s="1"/>
      <c r="H201" s="1"/>
      <c r="I201" s="1"/>
    </row>
    <row r="202" ht="15.75" customHeight="1">
      <c r="F202" s="1"/>
      <c r="G202" s="1"/>
      <c r="H202" s="1"/>
      <c r="I202" s="1"/>
    </row>
    <row r="203" ht="15.75" customHeight="1">
      <c r="F203" s="1"/>
      <c r="G203" s="1"/>
      <c r="H203" s="1"/>
      <c r="I203" s="1"/>
    </row>
    <row r="204" ht="15.75" customHeight="1">
      <c r="F204" s="1"/>
      <c r="G204" s="1"/>
      <c r="H204" s="1"/>
      <c r="I204" s="1"/>
    </row>
    <row r="205" ht="15.75" customHeight="1">
      <c r="F205" s="1"/>
      <c r="G205" s="1"/>
      <c r="H205" s="1"/>
      <c r="I205" s="1"/>
    </row>
    <row r="206" ht="15.75" customHeight="1">
      <c r="F206" s="1"/>
      <c r="G206" s="1"/>
      <c r="H206" s="1"/>
      <c r="I206" s="1"/>
    </row>
    <row r="207" ht="15.75" customHeight="1">
      <c r="F207" s="1"/>
      <c r="G207" s="1"/>
      <c r="H207" s="1"/>
      <c r="I207" s="1"/>
    </row>
    <row r="208" ht="15.75" customHeight="1">
      <c r="F208" s="1"/>
      <c r="G208" s="1"/>
      <c r="H208" s="1"/>
      <c r="I208" s="1"/>
    </row>
    <row r="209" ht="15.75" customHeight="1">
      <c r="F209" s="1"/>
      <c r="G209" s="1"/>
      <c r="H209" s="1"/>
      <c r="I209" s="1"/>
    </row>
    <row r="210" ht="15.75" customHeight="1">
      <c r="F210" s="1"/>
      <c r="G210" s="1"/>
      <c r="H210" s="1"/>
      <c r="I210" s="1"/>
    </row>
    <row r="211" ht="15.75" customHeight="1">
      <c r="F211" s="1"/>
      <c r="G211" s="1"/>
      <c r="H211" s="1"/>
      <c r="I211" s="1"/>
    </row>
    <row r="212" ht="15.75" customHeight="1">
      <c r="F212" s="1"/>
      <c r="G212" s="1"/>
      <c r="H212" s="1"/>
      <c r="I212" s="1"/>
    </row>
    <row r="213" ht="15.75" customHeight="1">
      <c r="F213" s="1"/>
      <c r="G213" s="1"/>
      <c r="H213" s="1"/>
      <c r="I213" s="1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43"/>
    <col customWidth="1" min="7" max="7" width="12.57"/>
    <col customWidth="1" min="8" max="8" width="14.14"/>
    <col customWidth="1" min="9" max="10" width="8.71"/>
    <col customWidth="1" min="11" max="11" width="13.29"/>
    <col customWidth="1" min="12" max="14" width="8.71"/>
    <col customWidth="1" min="15" max="15" width="18.0"/>
    <col customWidth="1" min="16" max="16" width="12.71"/>
    <col customWidth="1" min="17" max="26" width="8.71"/>
  </cols>
  <sheetData>
    <row r="1">
      <c r="E1" s="2" t="s">
        <v>24</v>
      </c>
    </row>
    <row r="2"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5</v>
      </c>
      <c r="L2" s="3" t="s">
        <v>31</v>
      </c>
    </row>
    <row r="3">
      <c r="E3" s="15">
        <v>2010.0</v>
      </c>
      <c r="F3" s="15">
        <v>213.0</v>
      </c>
      <c r="G3" s="15">
        <v>6000.0</v>
      </c>
      <c r="H3" s="15">
        <f t="shared" ref="H3:H12" si="1">F3-$F$14</f>
        <v>11.1</v>
      </c>
      <c r="I3" s="15">
        <f t="shared" ref="I3:I12" si="2">G3-$G$14</f>
        <v>-5800</v>
      </c>
      <c r="J3" s="15">
        <f t="shared" ref="J3:J12" si="3">I3*H3</f>
        <v>-64380</v>
      </c>
      <c r="K3" s="15">
        <f t="shared" ref="K3:K12" si="4">I3^2</f>
        <v>33640000</v>
      </c>
      <c r="L3" s="15">
        <f t="shared" ref="L3:L12" si="5">H3^2</f>
        <v>123.21</v>
      </c>
    </row>
    <row r="4">
      <c r="E4" s="15">
        <v>2011.0</v>
      </c>
      <c r="F4" s="15">
        <v>210.0</v>
      </c>
      <c r="G4" s="15">
        <v>9000.0</v>
      </c>
      <c r="H4" s="15">
        <f t="shared" si="1"/>
        <v>8.1</v>
      </c>
      <c r="I4" s="15">
        <f t="shared" si="2"/>
        <v>-2800</v>
      </c>
      <c r="J4" s="15">
        <f t="shared" si="3"/>
        <v>-22680</v>
      </c>
      <c r="K4" s="15">
        <f t="shared" si="4"/>
        <v>7840000</v>
      </c>
      <c r="L4" s="15">
        <f t="shared" si="5"/>
        <v>65.61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E5" s="15">
        <v>2012.0</v>
      </c>
      <c r="F5" s="15">
        <v>205.0</v>
      </c>
      <c r="G5" s="15">
        <v>7000.0</v>
      </c>
      <c r="H5" s="15">
        <f t="shared" si="1"/>
        <v>3.1</v>
      </c>
      <c r="I5" s="15">
        <f t="shared" si="2"/>
        <v>-4800</v>
      </c>
      <c r="J5" s="15">
        <f t="shared" si="3"/>
        <v>-14880</v>
      </c>
      <c r="K5" s="15">
        <f t="shared" si="4"/>
        <v>23040000</v>
      </c>
      <c r="L5" s="15">
        <f t="shared" si="5"/>
        <v>9.61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E6" s="15">
        <v>2013.0</v>
      </c>
      <c r="F6" s="15">
        <v>203.0</v>
      </c>
      <c r="G6" s="15">
        <v>10000.0</v>
      </c>
      <c r="H6" s="15">
        <f t="shared" si="1"/>
        <v>1.1</v>
      </c>
      <c r="I6" s="15">
        <f t="shared" si="2"/>
        <v>-1800</v>
      </c>
      <c r="J6" s="15">
        <f t="shared" si="3"/>
        <v>-1980</v>
      </c>
      <c r="K6" s="15">
        <f t="shared" si="4"/>
        <v>3240000</v>
      </c>
      <c r="L6" s="15">
        <f t="shared" si="5"/>
        <v>1.21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E7" s="15">
        <v>2014.0</v>
      </c>
      <c r="F7" s="15">
        <v>202.0</v>
      </c>
      <c r="G7" s="15">
        <v>10000.0</v>
      </c>
      <c r="H7" s="15">
        <f t="shared" si="1"/>
        <v>0.1</v>
      </c>
      <c r="I7" s="15">
        <f t="shared" si="2"/>
        <v>-1800</v>
      </c>
      <c r="J7" s="15">
        <f t="shared" si="3"/>
        <v>-180</v>
      </c>
      <c r="K7" s="15">
        <f t="shared" si="4"/>
        <v>3240000</v>
      </c>
      <c r="L7" s="15">
        <f t="shared" si="5"/>
        <v>0.01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E8" s="15">
        <v>2015.0</v>
      </c>
      <c r="F8" s="15">
        <v>200.0</v>
      </c>
      <c r="G8" s="15">
        <v>12000.0</v>
      </c>
      <c r="H8" s="15">
        <f t="shared" si="1"/>
        <v>-1.9</v>
      </c>
      <c r="I8" s="15">
        <f t="shared" si="2"/>
        <v>200</v>
      </c>
      <c r="J8" s="15">
        <f t="shared" si="3"/>
        <v>-380</v>
      </c>
      <c r="K8" s="15">
        <f t="shared" si="4"/>
        <v>40000</v>
      </c>
      <c r="L8" s="15">
        <f t="shared" si="5"/>
        <v>3.61</v>
      </c>
      <c r="O8" s="16"/>
      <c r="P8" s="16"/>
      <c r="Q8" s="1"/>
      <c r="R8" s="1"/>
      <c r="S8" s="1"/>
      <c r="T8" s="1"/>
      <c r="U8" s="1"/>
      <c r="V8" s="1"/>
      <c r="W8" s="1"/>
      <c r="X8" s="1"/>
    </row>
    <row r="9">
      <c r="E9" s="15">
        <v>2016.0</v>
      </c>
      <c r="F9" s="15">
        <v>199.0</v>
      </c>
      <c r="G9" s="15">
        <v>15000.0</v>
      </c>
      <c r="H9" s="15">
        <f t="shared" si="1"/>
        <v>-2.9</v>
      </c>
      <c r="I9" s="15">
        <f t="shared" si="2"/>
        <v>3200</v>
      </c>
      <c r="J9" s="15">
        <f t="shared" si="3"/>
        <v>-9280</v>
      </c>
      <c r="K9" s="15">
        <f t="shared" si="4"/>
        <v>10240000</v>
      </c>
      <c r="L9" s="15">
        <f t="shared" si="5"/>
        <v>8.41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E10" s="15">
        <v>2017.0</v>
      </c>
      <c r="F10" s="15">
        <v>198.0</v>
      </c>
      <c r="G10" s="15">
        <v>15000.0</v>
      </c>
      <c r="H10" s="15">
        <f t="shared" si="1"/>
        <v>-3.9</v>
      </c>
      <c r="I10" s="15">
        <f t="shared" si="2"/>
        <v>3200</v>
      </c>
      <c r="J10" s="15">
        <f t="shared" si="3"/>
        <v>-12480</v>
      </c>
      <c r="K10" s="15">
        <f t="shared" si="4"/>
        <v>10240000</v>
      </c>
      <c r="L10" s="15">
        <f t="shared" si="5"/>
        <v>15.21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E11" s="15">
        <v>2018.0</v>
      </c>
      <c r="F11" s="15">
        <v>196.0</v>
      </c>
      <c r="G11" s="15">
        <v>16000.0</v>
      </c>
      <c r="H11" s="15">
        <f t="shared" si="1"/>
        <v>-5.9</v>
      </c>
      <c r="I11" s="15">
        <f t="shared" si="2"/>
        <v>4200</v>
      </c>
      <c r="J11" s="15">
        <f t="shared" si="3"/>
        <v>-24780</v>
      </c>
      <c r="K11" s="15">
        <f t="shared" si="4"/>
        <v>17640000</v>
      </c>
      <c r="L11" s="15">
        <f t="shared" si="5"/>
        <v>34.81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E12" s="15">
        <v>2019.0</v>
      </c>
      <c r="F12" s="15">
        <v>193.0</v>
      </c>
      <c r="G12" s="15">
        <v>18000.0</v>
      </c>
      <c r="H12" s="15">
        <f t="shared" si="1"/>
        <v>-8.9</v>
      </c>
      <c r="I12" s="15">
        <f t="shared" si="2"/>
        <v>6200</v>
      </c>
      <c r="J12" s="15">
        <f t="shared" si="3"/>
        <v>-55180</v>
      </c>
      <c r="K12" s="15">
        <f t="shared" si="4"/>
        <v>38440000</v>
      </c>
      <c r="L12" s="15">
        <f t="shared" si="5"/>
        <v>79.21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E13" s="15" t="s">
        <v>32</v>
      </c>
      <c r="F13" s="15">
        <f t="shared" ref="F13:L13" si="6">SUM(F3:F12)</f>
        <v>2019</v>
      </c>
      <c r="G13" s="15">
        <f t="shared" si="6"/>
        <v>118000</v>
      </c>
      <c r="H13" s="15">
        <f t="shared" si="6"/>
        <v>0</v>
      </c>
      <c r="I13" s="15">
        <f t="shared" si="6"/>
        <v>0</v>
      </c>
      <c r="J13" s="15">
        <f t="shared" si="6"/>
        <v>-206200</v>
      </c>
      <c r="K13" s="15">
        <f t="shared" si="6"/>
        <v>147600000</v>
      </c>
      <c r="L13" s="15">
        <f t="shared" si="6"/>
        <v>340.9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E14" s="15" t="s">
        <v>33</v>
      </c>
      <c r="F14" s="15">
        <f t="shared" ref="F14:G14" si="7">AVERAGE(F3:F12)</f>
        <v>201.9</v>
      </c>
      <c r="G14" s="15">
        <f t="shared" si="7"/>
        <v>11800</v>
      </c>
      <c r="H14" s="15"/>
      <c r="I14" s="15"/>
      <c r="J14" s="15"/>
      <c r="K14" s="15"/>
      <c r="L14" s="15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O16" s="16"/>
      <c r="P16" s="16"/>
      <c r="Q16" s="16"/>
      <c r="R16" s="16"/>
      <c r="S16" s="16"/>
      <c r="T16" s="16"/>
      <c r="U16" s="1"/>
      <c r="V16" s="1"/>
      <c r="W16" s="1"/>
      <c r="X16" s="1"/>
    </row>
    <row r="17"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E18" s="2" t="s">
        <v>0</v>
      </c>
      <c r="F18" s="2">
        <f>J13/K13</f>
        <v>-0.00139701897</v>
      </c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E20" s="2" t="s">
        <v>1</v>
      </c>
      <c r="F20" s="2">
        <f>F18*J13/L13</f>
        <v>0.8450141146</v>
      </c>
      <c r="G20" s="2" t="s">
        <v>34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G21" s="2" t="s">
        <v>2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F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F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8.0"/>
    <col customWidth="1" min="11" max="14" width="8.71"/>
    <col customWidth="1" min="15" max="15" width="18.29"/>
    <col customWidth="1" min="16" max="26" width="8.71"/>
  </cols>
  <sheetData>
    <row r="1">
      <c r="J1" s="2" t="s">
        <v>35</v>
      </c>
    </row>
    <row r="2"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</row>
    <row r="3">
      <c r="B3" s="5">
        <v>1.0</v>
      </c>
      <c r="C3" s="17">
        <v>4.0</v>
      </c>
      <c r="D3" s="17">
        <v>5.0</v>
      </c>
      <c r="E3" s="17">
        <v>3.0</v>
      </c>
      <c r="F3" s="17">
        <v>4.0</v>
      </c>
    </row>
    <row r="4">
      <c r="B4" s="5">
        <v>2.0</v>
      </c>
      <c r="C4" s="17">
        <v>4.0</v>
      </c>
      <c r="D4" s="17">
        <v>4.25</v>
      </c>
      <c r="E4" s="17">
        <v>3.4</v>
      </c>
      <c r="F4" s="17">
        <v>3.83</v>
      </c>
    </row>
    <row r="5">
      <c r="B5" s="5">
        <v>3.0</v>
      </c>
      <c r="C5" s="17">
        <v>5.0</v>
      </c>
      <c r="D5" s="17">
        <v>5.0</v>
      </c>
      <c r="E5" s="17">
        <v>5.0</v>
      </c>
      <c r="F5" s="17">
        <v>5.0</v>
      </c>
    </row>
    <row r="6">
      <c r="B6" s="5">
        <v>4.0</v>
      </c>
      <c r="C6" s="17">
        <v>5.0</v>
      </c>
      <c r="D6" s="17">
        <v>5.0</v>
      </c>
      <c r="E6" s="17">
        <v>5.0</v>
      </c>
      <c r="F6" s="17">
        <v>5.0</v>
      </c>
      <c r="J6" s="2" t="s">
        <v>41</v>
      </c>
    </row>
    <row r="7">
      <c r="B7" s="5">
        <v>5.0</v>
      </c>
      <c r="C7" s="17">
        <v>3.25</v>
      </c>
      <c r="D7" s="17">
        <v>3.25</v>
      </c>
      <c r="E7" s="17">
        <v>3.2</v>
      </c>
      <c r="F7" s="17">
        <v>3.33</v>
      </c>
      <c r="M7" s="6" t="s">
        <v>42</v>
      </c>
      <c r="O7" s="14" t="s">
        <v>43</v>
      </c>
    </row>
    <row r="8">
      <c r="B8" s="5">
        <v>6.0</v>
      </c>
      <c r="C8" s="17">
        <v>3.75</v>
      </c>
      <c r="D8" s="17">
        <v>4.25</v>
      </c>
      <c r="E8" s="17">
        <v>3.4</v>
      </c>
      <c r="F8" s="17">
        <v>3.83</v>
      </c>
      <c r="J8" s="18" t="s">
        <v>44</v>
      </c>
      <c r="K8" s="19"/>
      <c r="O8" s="20" t="s">
        <v>45</v>
      </c>
    </row>
    <row r="9">
      <c r="B9" s="5">
        <v>7.0</v>
      </c>
      <c r="C9" s="17">
        <v>4.0</v>
      </c>
      <c r="D9" s="17">
        <v>4.25</v>
      </c>
      <c r="E9" s="17">
        <v>3.6</v>
      </c>
      <c r="F9" s="17">
        <v>4.17</v>
      </c>
      <c r="J9" s="1" t="s">
        <v>46</v>
      </c>
      <c r="K9" s="1">
        <v>0.899236964143869</v>
      </c>
    </row>
    <row r="10">
      <c r="B10" s="5">
        <v>8.0</v>
      </c>
      <c r="C10" s="17">
        <v>4.75</v>
      </c>
      <c r="D10" s="17">
        <v>4.25</v>
      </c>
      <c r="E10" s="17">
        <v>4.2</v>
      </c>
      <c r="F10" s="17">
        <v>4.17</v>
      </c>
      <c r="J10" s="21" t="s">
        <v>47</v>
      </c>
      <c r="K10" s="21">
        <v>0.808627117682682</v>
      </c>
      <c r="M10" s="6" t="s">
        <v>42</v>
      </c>
      <c r="O10" s="14" t="s">
        <v>48</v>
      </c>
    </row>
    <row r="11">
      <c r="B11" s="5">
        <v>9.0</v>
      </c>
      <c r="C11" s="17">
        <v>4.25</v>
      </c>
      <c r="D11" s="17">
        <v>4.0</v>
      </c>
      <c r="E11" s="17">
        <v>4.0</v>
      </c>
      <c r="F11" s="17">
        <v>3.67</v>
      </c>
      <c r="J11" s="6" t="s">
        <v>42</v>
      </c>
      <c r="K11" s="6">
        <v>0.786545631261453</v>
      </c>
      <c r="O11" s="2" t="s">
        <v>49</v>
      </c>
    </row>
    <row r="12">
      <c r="B12" s="5">
        <v>10.0</v>
      </c>
      <c r="C12" s="17">
        <v>4.0</v>
      </c>
      <c r="D12" s="17">
        <v>4.0</v>
      </c>
      <c r="E12" s="17">
        <v>4.0</v>
      </c>
      <c r="F12" s="17">
        <v>4.0</v>
      </c>
      <c r="J12" s="1" t="s">
        <v>50</v>
      </c>
      <c r="K12" s="1">
        <v>0.24690107077172158</v>
      </c>
    </row>
    <row r="13">
      <c r="B13" s="5">
        <v>11.0</v>
      </c>
      <c r="C13" s="17">
        <v>4.0</v>
      </c>
      <c r="D13" s="17">
        <v>5.0</v>
      </c>
      <c r="E13" s="17">
        <v>3.0</v>
      </c>
      <c r="F13" s="17">
        <v>5.0</v>
      </c>
      <c r="J13" s="12" t="s">
        <v>51</v>
      </c>
      <c r="K13" s="12">
        <v>30.0</v>
      </c>
      <c r="M13" s="21" t="s">
        <v>47</v>
      </c>
      <c r="O13" s="14" t="s">
        <v>52</v>
      </c>
    </row>
    <row r="14">
      <c r="B14" s="5">
        <v>12.0</v>
      </c>
      <c r="C14" s="17">
        <v>5.0</v>
      </c>
      <c r="D14" s="17">
        <v>3.0</v>
      </c>
      <c r="E14" s="17">
        <v>5.0</v>
      </c>
      <c r="F14" s="17">
        <v>3.0</v>
      </c>
      <c r="O14" s="2" t="s">
        <v>53</v>
      </c>
    </row>
    <row r="15">
      <c r="B15" s="5">
        <v>13.0</v>
      </c>
      <c r="C15" s="17">
        <v>5.0</v>
      </c>
      <c r="D15" s="17">
        <v>5.0</v>
      </c>
      <c r="E15" s="17">
        <v>4.2</v>
      </c>
      <c r="F15" s="17">
        <v>5.0</v>
      </c>
      <c r="J15" s="2" t="s">
        <v>54</v>
      </c>
    </row>
    <row r="16">
      <c r="B16" s="5">
        <v>14.0</v>
      </c>
      <c r="C16" s="17">
        <v>3.25</v>
      </c>
      <c r="D16" s="17">
        <v>3.25</v>
      </c>
      <c r="E16" s="17">
        <v>3.0</v>
      </c>
      <c r="F16" s="17">
        <v>3.17</v>
      </c>
      <c r="J16" s="18"/>
      <c r="K16" s="18" t="s">
        <v>55</v>
      </c>
      <c r="L16" s="18" t="s">
        <v>56</v>
      </c>
      <c r="M16" s="18" t="s">
        <v>57</v>
      </c>
      <c r="N16" s="18" t="s">
        <v>58</v>
      </c>
      <c r="O16" s="18" t="s">
        <v>59</v>
      </c>
    </row>
    <row r="17">
      <c r="B17" s="5">
        <v>15.0</v>
      </c>
      <c r="C17" s="17">
        <v>4.0</v>
      </c>
      <c r="D17" s="17">
        <v>4.5</v>
      </c>
      <c r="E17" s="17">
        <v>4.0</v>
      </c>
      <c r="F17" s="17">
        <v>3.83</v>
      </c>
      <c r="J17" s="1" t="s">
        <v>60</v>
      </c>
      <c r="K17" s="1">
        <v>3.0</v>
      </c>
      <c r="L17" s="1">
        <v>6.697106392546209</v>
      </c>
      <c r="M17" s="1">
        <v>2.2323687975154027</v>
      </c>
      <c r="N17" s="1">
        <v>36.6201397069571</v>
      </c>
      <c r="O17" s="1">
        <v>1.7522208685993815E-9</v>
      </c>
    </row>
    <row r="18">
      <c r="B18" s="5">
        <v>16.0</v>
      </c>
      <c r="C18" s="17">
        <v>4.0</v>
      </c>
      <c r="D18" s="17">
        <v>4.0</v>
      </c>
      <c r="E18" s="17">
        <v>4.6</v>
      </c>
      <c r="F18" s="17">
        <v>3.83</v>
      </c>
      <c r="J18" s="1" t="s">
        <v>61</v>
      </c>
      <c r="K18" s="1">
        <v>26.0</v>
      </c>
      <c r="L18" s="1">
        <v>1.5849636074537892</v>
      </c>
      <c r="M18" s="1">
        <v>0.06096013874822266</v>
      </c>
      <c r="N18" s="1"/>
      <c r="O18" s="1"/>
    </row>
    <row r="19">
      <c r="B19" s="5">
        <v>17.0</v>
      </c>
      <c r="C19" s="17">
        <v>4.0</v>
      </c>
      <c r="D19" s="17">
        <v>4.5</v>
      </c>
      <c r="E19" s="17">
        <v>4.0</v>
      </c>
      <c r="F19" s="17">
        <v>4.0</v>
      </c>
      <c r="J19" s="12" t="s">
        <v>62</v>
      </c>
      <c r="K19" s="12">
        <v>29.0</v>
      </c>
      <c r="L19" s="12">
        <v>8.282069999999997</v>
      </c>
      <c r="M19" s="12"/>
      <c r="N19" s="12"/>
      <c r="O19" s="12"/>
    </row>
    <row r="20">
      <c r="B20" s="5">
        <v>18.0</v>
      </c>
      <c r="C20" s="17">
        <v>5.0</v>
      </c>
      <c r="D20" s="17">
        <v>4.0</v>
      </c>
      <c r="E20" s="17">
        <v>4.6</v>
      </c>
      <c r="F20" s="17">
        <v>4.5</v>
      </c>
    </row>
    <row r="21" ht="15.75" customHeight="1">
      <c r="B21" s="5">
        <v>19.0</v>
      </c>
      <c r="C21" s="17">
        <v>4.25</v>
      </c>
      <c r="D21" s="17">
        <v>3.75</v>
      </c>
      <c r="E21" s="17">
        <v>3.2</v>
      </c>
      <c r="F21" s="17">
        <v>3.83</v>
      </c>
      <c r="J21" s="18"/>
      <c r="K21" s="18" t="s">
        <v>63</v>
      </c>
      <c r="L21" s="18" t="s">
        <v>50</v>
      </c>
      <c r="M21" s="18" t="s">
        <v>64</v>
      </c>
      <c r="N21" s="18" t="s">
        <v>65</v>
      </c>
      <c r="O21" s="18" t="s">
        <v>66</v>
      </c>
      <c r="P21" s="18" t="s">
        <v>67</v>
      </c>
      <c r="Q21" s="18" t="s">
        <v>68</v>
      </c>
      <c r="R21" s="18" t="s">
        <v>69</v>
      </c>
    </row>
    <row r="22" ht="15.75" customHeight="1">
      <c r="B22" s="5">
        <v>20.0</v>
      </c>
      <c r="C22" s="17">
        <v>4.0</v>
      </c>
      <c r="D22" s="17">
        <v>4.0</v>
      </c>
      <c r="E22" s="17">
        <v>4.2</v>
      </c>
      <c r="F22" s="17">
        <v>4.0</v>
      </c>
      <c r="J22" s="1" t="s">
        <v>15</v>
      </c>
      <c r="K22" s="1">
        <v>-0.17491989926885898</v>
      </c>
      <c r="L22" s="1">
        <v>0.4180108963861748</v>
      </c>
      <c r="M22" s="1">
        <v>-0.4184577502191741</v>
      </c>
      <c r="N22" s="1">
        <v>0.6790488866574655</v>
      </c>
      <c r="O22" s="1">
        <v>-1.0341536024641371</v>
      </c>
      <c r="P22" s="1">
        <v>0.684313803926419</v>
      </c>
      <c r="Q22" s="1">
        <v>-1.0341536024641371</v>
      </c>
      <c r="R22" s="1">
        <v>0.684313803926419</v>
      </c>
    </row>
    <row r="23" ht="15.75" customHeight="1">
      <c r="B23" s="5">
        <v>21.0</v>
      </c>
      <c r="C23" s="17">
        <v>4.0</v>
      </c>
      <c r="D23" s="17">
        <v>4.5</v>
      </c>
      <c r="E23" s="17">
        <v>4.0</v>
      </c>
      <c r="F23" s="17">
        <v>4.0</v>
      </c>
      <c r="J23" s="1" t="s">
        <v>37</v>
      </c>
      <c r="K23" s="1">
        <v>0.32351356436412126</v>
      </c>
      <c r="L23" s="1">
        <v>0.14724582207073822</v>
      </c>
      <c r="M23" s="1">
        <v>2.1970984291065485</v>
      </c>
      <c r="N23" s="1">
        <v>0.03712326655335185</v>
      </c>
      <c r="O23" s="1">
        <v>0.020845442380548362</v>
      </c>
      <c r="P23" s="1">
        <v>0.6261816863476941</v>
      </c>
      <c r="Q23" s="1">
        <v>0.020845442380548362</v>
      </c>
      <c r="R23" s="1">
        <v>0.6261816863476941</v>
      </c>
    </row>
    <row r="24" ht="15.75" customHeight="1">
      <c r="B24" s="5">
        <v>22.0</v>
      </c>
      <c r="C24" s="17">
        <v>4.0</v>
      </c>
      <c r="D24" s="17">
        <v>4.0</v>
      </c>
      <c r="E24" s="17">
        <v>4.0</v>
      </c>
      <c r="F24" s="17">
        <v>4.0</v>
      </c>
      <c r="J24" s="1" t="s">
        <v>38</v>
      </c>
      <c r="K24" s="1">
        <v>0.6781931548609755</v>
      </c>
      <c r="L24" s="1">
        <v>0.0920937412127242</v>
      </c>
      <c r="M24" s="1">
        <v>7.364161189786396</v>
      </c>
      <c r="N24" s="1">
        <v>8.060781731511227E-8</v>
      </c>
      <c r="O24" s="1">
        <v>0.4888917586834625</v>
      </c>
      <c r="P24" s="1">
        <v>0.8674945510384886</v>
      </c>
      <c r="Q24" s="1">
        <v>0.4888917586834625</v>
      </c>
      <c r="R24" s="1">
        <v>0.8674945510384886</v>
      </c>
    </row>
    <row r="25" ht="15.75" customHeight="1">
      <c r="B25" s="5">
        <v>23.0</v>
      </c>
      <c r="C25" s="17">
        <v>4.0</v>
      </c>
      <c r="D25" s="17">
        <v>4.75</v>
      </c>
      <c r="E25" s="17">
        <v>4.0</v>
      </c>
      <c r="F25" s="17">
        <v>4.17</v>
      </c>
      <c r="J25" s="12" t="s">
        <v>39</v>
      </c>
      <c r="K25" s="12">
        <v>-0.0078334712641258</v>
      </c>
      <c r="L25" s="12">
        <v>0.10680553784217092</v>
      </c>
      <c r="M25" s="12">
        <v>-0.07334330618419342</v>
      </c>
      <c r="N25" s="12">
        <v>0.9420942752330848</v>
      </c>
      <c r="O25" s="12">
        <v>-0.2273753985087935</v>
      </c>
      <c r="P25" s="12">
        <v>0.21170845598054194</v>
      </c>
      <c r="Q25" s="12">
        <v>-0.2273753985087935</v>
      </c>
      <c r="R25" s="12">
        <v>0.21170845598054194</v>
      </c>
    </row>
    <row r="26" ht="15.75" customHeight="1">
      <c r="B26" s="5">
        <v>24.0</v>
      </c>
      <c r="C26" s="17">
        <v>4.25</v>
      </c>
      <c r="D26" s="17">
        <v>4.5</v>
      </c>
      <c r="E26" s="17">
        <v>4.0</v>
      </c>
      <c r="F26" s="17">
        <v>4.17</v>
      </c>
    </row>
    <row r="27" ht="15.75" customHeight="1">
      <c r="B27" s="5">
        <v>25.0</v>
      </c>
      <c r="C27" s="17">
        <v>3.75</v>
      </c>
      <c r="D27" s="17">
        <v>3.75</v>
      </c>
      <c r="E27" s="17">
        <v>2.8</v>
      </c>
      <c r="F27" s="17">
        <v>3.5</v>
      </c>
    </row>
    <row r="28" ht="15.75" customHeight="1">
      <c r="B28" s="5">
        <v>26.0</v>
      </c>
      <c r="C28" s="17">
        <v>4.0</v>
      </c>
      <c r="D28" s="17">
        <v>4.5</v>
      </c>
      <c r="E28" s="17">
        <v>2.8</v>
      </c>
      <c r="F28" s="17">
        <v>4.0</v>
      </c>
    </row>
    <row r="29" ht="15.75" customHeight="1">
      <c r="B29" s="5">
        <v>27.0</v>
      </c>
      <c r="C29" s="17">
        <v>4.5</v>
      </c>
      <c r="D29" s="17">
        <v>4.25</v>
      </c>
      <c r="E29" s="17">
        <v>3.8</v>
      </c>
      <c r="F29" s="17">
        <v>4.0</v>
      </c>
    </row>
    <row r="30" ht="15.75" customHeight="1">
      <c r="B30" s="5">
        <v>28.0</v>
      </c>
      <c r="C30" s="17">
        <v>4.5</v>
      </c>
      <c r="D30" s="17">
        <v>4.75</v>
      </c>
      <c r="E30" s="17">
        <v>4.6</v>
      </c>
      <c r="F30" s="17">
        <v>4.17</v>
      </c>
    </row>
    <row r="31" ht="15.75" customHeight="1">
      <c r="B31" s="5">
        <v>29.0</v>
      </c>
      <c r="C31" s="17">
        <v>3.75</v>
      </c>
      <c r="D31" s="17">
        <v>3.75</v>
      </c>
      <c r="E31" s="17">
        <v>3.4</v>
      </c>
      <c r="F31" s="17">
        <v>3.5</v>
      </c>
    </row>
    <row r="32" ht="15.75" customHeight="1">
      <c r="B32" s="5">
        <v>30.0</v>
      </c>
      <c r="C32" s="17">
        <v>3.0</v>
      </c>
      <c r="D32" s="17">
        <v>3.25</v>
      </c>
      <c r="E32" s="17">
        <v>3.0</v>
      </c>
      <c r="F32" s="17">
        <v>3.0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8:K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2024-03-13T04:13:22Z</dcterms:created>
  <dc:creator>SMK MUHAMMADIYAH</dc:creator>
</cp:coreProperties>
</file>